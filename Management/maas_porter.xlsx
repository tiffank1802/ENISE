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1. Logistique interne" sheetId="2" state="visible" r:id="rId2"/>
    <sheet name="2. Opérations" sheetId="3" state="visible" r:id="rId3"/>
    <sheet name="3. Logistique externe" sheetId="4" state="visible" r:id="rId4"/>
    <sheet name="4. Marketing &amp; vente" sheetId="5" state="visible" r:id="rId5"/>
    <sheet name="5. Services" sheetId="6" state="visible" r:id="rId6"/>
    <sheet name="6. Infrastructure de l’entre" sheetId="7" state="visible" r:id="rId7"/>
    <sheet name="7. Gestion des RH" sheetId="8" state="visible" r:id="rId8"/>
    <sheet name="8. Développement technologiq" sheetId="9" state="visible" r:id="rId9"/>
    <sheet name="9. Approvisionnement" sheetId="10" state="visible" r:id="rId10"/>
    <sheet name="Synthè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2">
    <xf numFmtId="0" fontId="0" fillId="0" borderId="0"/>
    <xf numFmtId="164" fontId="1" fillId="0" borderId="1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2" applyAlignment="1" pivotButton="0" quotePrefix="0" xfId="0">
      <alignment horizontal="center"/>
    </xf>
    <xf numFmtId="0" fontId="0" fillId="0" borderId="2" pivotButton="0" quotePrefix="0" xfId="0"/>
    <xf numFmtId="0" fontId="3" fillId="0" borderId="2" pivotButton="0" quotePrefix="0" xfId="0"/>
    <xf numFmtId="164" fontId="1" fillId="0" borderId="1" pivotButton="0" quotePrefix="0" xfId="1"/>
    <xf numFmtId="164" fontId="4" fillId="0" borderId="1" pivotButton="0" quotePrefix="0" xfId="1"/>
    <xf numFmtId="164" fontId="1" fillId="0" borderId="2" pivotButton="0" quotePrefix="0" xfId="1"/>
    <xf numFmtId="164" fontId="4" fillId="0" borderId="2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Hypothèses générales</t>
        </is>
      </c>
    </row>
    <row r="3">
      <c r="A3" t="inlineStr">
        <is>
          <t>Durée du projet (mois)</t>
        </is>
      </c>
      <c r="B3" t="n">
        <v>6</v>
      </c>
    </row>
    <row r="4">
      <c r="A4" t="inlineStr">
        <is>
          <t>Jours ouvrés par mois</t>
        </is>
      </c>
      <c r="B4" t="n">
        <v>20</v>
      </c>
    </row>
    <row r="5">
      <c r="A5" t="inlineStr">
        <is>
          <t>Nombre de personnes</t>
        </is>
      </c>
      <c r="B5" t="n">
        <v>10</v>
      </c>
    </row>
    <row r="6">
      <c r="A6" t="inlineStr">
        <is>
          <t>TJM (€/jour/personne)</t>
        </is>
      </c>
      <c r="B6" t="n">
        <v>600</v>
      </c>
    </row>
    <row r="8">
      <c r="A8" t="inlineStr">
        <is>
          <t>Total personnes-jour (calculé)</t>
        </is>
      </c>
      <c r="B8">
        <f>B3*B4*B5</f>
        <v/>
      </c>
    </row>
    <row r="10">
      <c r="A10" s="2" t="inlineStr">
        <is>
          <t>Répartition des personnes-jour par activité</t>
        </is>
      </c>
    </row>
    <row r="12">
      <c r="A12" s="3" t="inlineStr">
        <is>
          <t>Activité</t>
        </is>
      </c>
      <c r="B12" s="3" t="inlineStr">
        <is>
          <t>Total pj</t>
        </is>
      </c>
      <c r="C12" s="3" t="inlineStr">
        <is>
          <t>DF pj</t>
        </is>
      </c>
      <c r="D12" s="3" t="inlineStr">
        <is>
          <t>DV pj</t>
        </is>
      </c>
      <c r="E12" s="3" t="inlineStr">
        <is>
          <t>IF pj</t>
        </is>
      </c>
      <c r="F12" s="3" t="inlineStr">
        <is>
          <t>IV pj</t>
        </is>
      </c>
    </row>
    <row r="13">
      <c r="A13" s="4" t="inlineStr">
        <is>
          <t>Logistique interne</t>
        </is>
      </c>
      <c r="B13" s="4" t="n">
        <v>180</v>
      </c>
      <c r="C13" s="4" t="n">
        <v>120</v>
      </c>
      <c r="D13" s="4" t="n">
        <v>30</v>
      </c>
      <c r="E13" s="4" t="n">
        <v>20</v>
      </c>
      <c r="F13" s="4" t="n">
        <v>10</v>
      </c>
    </row>
    <row r="14">
      <c r="A14" s="4" t="inlineStr">
        <is>
          <t>Opérations</t>
        </is>
      </c>
      <c r="B14" s="4" t="n">
        <v>260</v>
      </c>
      <c r="C14" s="4" t="n">
        <v>170</v>
      </c>
      <c r="D14" s="4" t="n">
        <v>40</v>
      </c>
      <c r="E14" s="4" t="n">
        <v>30</v>
      </c>
      <c r="F14" s="4" t="n">
        <v>20</v>
      </c>
    </row>
    <row r="15">
      <c r="A15" s="4" t="inlineStr">
        <is>
          <t>Logistique externe</t>
        </is>
      </c>
      <c r="B15" s="4" t="n">
        <v>120</v>
      </c>
      <c r="C15" s="4" t="n">
        <v>70</v>
      </c>
      <c r="D15" s="4" t="n">
        <v>20</v>
      </c>
      <c r="E15" s="4" t="n">
        <v>20</v>
      </c>
      <c r="F15" s="4" t="n">
        <v>10</v>
      </c>
    </row>
    <row r="16">
      <c r="A16" s="4" t="inlineStr">
        <is>
          <t>Marketing &amp; vente</t>
        </is>
      </c>
      <c r="B16" s="4" t="n">
        <v>120</v>
      </c>
      <c r="C16" s="4" t="n">
        <v>60</v>
      </c>
      <c r="D16" s="4" t="n">
        <v>30</v>
      </c>
      <c r="E16" s="4" t="n">
        <v>20</v>
      </c>
      <c r="F16" s="4" t="n">
        <v>10</v>
      </c>
    </row>
    <row r="17">
      <c r="A17" s="4" t="inlineStr">
        <is>
          <t>Services</t>
        </is>
      </c>
      <c r="B17" s="4" t="n">
        <v>60</v>
      </c>
      <c r="C17" s="4" t="n">
        <v>30</v>
      </c>
      <c r="D17" s="4" t="n">
        <v>10</v>
      </c>
      <c r="E17" s="4" t="n">
        <v>10</v>
      </c>
      <c r="F17" s="4" t="n">
        <v>10</v>
      </c>
    </row>
    <row r="18">
      <c r="A18" s="4" t="inlineStr">
        <is>
          <t>Infrastructure de l’entreprise</t>
        </is>
      </c>
      <c r="B18" s="4" t="n">
        <v>140</v>
      </c>
      <c r="C18" s="4" t="n">
        <v>60</v>
      </c>
      <c r="D18" s="4" t="n">
        <v>20</v>
      </c>
      <c r="E18" s="4" t="n">
        <v>40</v>
      </c>
      <c r="F18" s="4" t="n">
        <v>20</v>
      </c>
    </row>
    <row r="19">
      <c r="A19" s="4" t="inlineStr">
        <is>
          <t>Gestion des RH</t>
        </is>
      </c>
      <c r="B19" s="4" t="n">
        <v>60</v>
      </c>
      <c r="C19" s="4" t="n">
        <v>30</v>
      </c>
      <c r="D19" s="4" t="n">
        <v>10</v>
      </c>
      <c r="E19" s="4" t="n">
        <v>10</v>
      </c>
      <c r="F19" s="4" t="n">
        <v>10</v>
      </c>
    </row>
    <row r="20">
      <c r="A20" s="4" t="inlineStr">
        <is>
          <t>Développement technologique</t>
        </is>
      </c>
      <c r="B20" s="4" t="n">
        <v>160</v>
      </c>
      <c r="C20" s="4" t="n">
        <v>90</v>
      </c>
      <c r="D20" s="4" t="n">
        <v>30</v>
      </c>
      <c r="E20" s="4" t="n">
        <v>25</v>
      </c>
      <c r="F20" s="4" t="n">
        <v>15</v>
      </c>
    </row>
    <row r="21">
      <c r="A21" s="4" t="inlineStr">
        <is>
          <t>Approvisionnement</t>
        </is>
      </c>
      <c r="B21" s="4" t="n">
        <v>100</v>
      </c>
      <c r="C21" s="4" t="n">
        <v>40</v>
      </c>
      <c r="D21" s="4" t="n">
        <v>20</v>
      </c>
      <c r="E21" s="4" t="n">
        <v>25</v>
      </c>
      <c r="F21" s="4" t="n">
        <v>15</v>
      </c>
    </row>
    <row r="22">
      <c r="A22" s="2" t="inlineStr">
        <is>
          <t>Total</t>
        </is>
      </c>
      <c r="B22" s="5">
        <f>SUM(B13:B21)</f>
        <v/>
      </c>
      <c r="C22" s="5">
        <f>SUM(C13:C21)</f>
        <v/>
      </c>
      <c r="D22" s="5">
        <f>SUM(D13:D21)</f>
        <v/>
      </c>
      <c r="E22" s="5">
        <f>SUM(E13:E21)</f>
        <v/>
      </c>
      <c r="F22" s="5">
        <f>SUM(F13:F21)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1 : Logistique interne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Hypothèses!C13</f>
        <v/>
      </c>
    </row>
    <row r="5">
      <c r="A5" s="2" t="inlineStr">
        <is>
          <t>Personnes-jour DV</t>
        </is>
      </c>
      <c r="B5">
        <f>Hypothèses!D13</f>
        <v/>
      </c>
    </row>
    <row r="6">
      <c r="A6" s="2" t="inlineStr">
        <is>
          <t>Personnes-jour IF</t>
        </is>
      </c>
      <c r="B6">
        <f>Hypothèses!E13</f>
        <v/>
      </c>
    </row>
    <row r="7">
      <c r="A7" s="2" t="inlineStr">
        <is>
          <t>Personnes-jour IV</t>
        </is>
      </c>
      <c r="B7">
        <f>Hypothèses!F13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2 : Opérations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Hypothèses!C14</f>
        <v/>
      </c>
    </row>
    <row r="5">
      <c r="A5" s="2" t="inlineStr">
        <is>
          <t>Personnes-jour DV</t>
        </is>
      </c>
      <c r="B5">
        <f>Hypothèses!D14</f>
        <v/>
      </c>
    </row>
    <row r="6">
      <c r="A6" s="2" t="inlineStr">
        <is>
          <t>Personnes-jour IF</t>
        </is>
      </c>
      <c r="B6">
        <f>Hypothèses!E14</f>
        <v/>
      </c>
    </row>
    <row r="7">
      <c r="A7" s="2" t="inlineStr">
        <is>
          <t>Personnes-jour IV</t>
        </is>
      </c>
      <c r="B7">
        <f>Hypothèses!F14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3 : Logistique externe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Hypothèses!C15</f>
        <v/>
      </c>
    </row>
    <row r="5">
      <c r="A5" s="2" t="inlineStr">
        <is>
          <t>Personnes-jour DV</t>
        </is>
      </c>
      <c r="B5">
        <f>Hypothèses!D15</f>
        <v/>
      </c>
    </row>
    <row r="6">
      <c r="A6" s="2" t="inlineStr">
        <is>
          <t>Personnes-jour IF</t>
        </is>
      </c>
      <c r="B6">
        <f>Hypothèses!E15</f>
        <v/>
      </c>
    </row>
    <row r="7">
      <c r="A7" s="2" t="inlineStr">
        <is>
          <t>Personnes-jour IV</t>
        </is>
      </c>
      <c r="B7">
        <f>Hypothèses!F15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4 : Marketing &amp; vente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Hypothèses!C16</f>
        <v/>
      </c>
    </row>
    <row r="5">
      <c r="A5" s="2" t="inlineStr">
        <is>
          <t>Personnes-jour DV</t>
        </is>
      </c>
      <c r="B5">
        <f>Hypothèses!D16</f>
        <v/>
      </c>
    </row>
    <row r="6">
      <c r="A6" s="2" t="inlineStr">
        <is>
          <t>Personnes-jour IF</t>
        </is>
      </c>
      <c r="B6">
        <f>Hypothèses!E16</f>
        <v/>
      </c>
    </row>
    <row r="7">
      <c r="A7" s="2" t="inlineStr">
        <is>
          <t>Personnes-jour IV</t>
        </is>
      </c>
      <c r="B7">
        <f>Hypothèses!F16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5 : Services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Hypothèses!C17</f>
        <v/>
      </c>
    </row>
    <row r="5">
      <c r="A5" s="2" t="inlineStr">
        <is>
          <t>Personnes-jour DV</t>
        </is>
      </c>
      <c r="B5">
        <f>Hypothèses!D17</f>
        <v/>
      </c>
    </row>
    <row r="6">
      <c r="A6" s="2" t="inlineStr">
        <is>
          <t>Personnes-jour IF</t>
        </is>
      </c>
      <c r="B6">
        <f>Hypothèses!E17</f>
        <v/>
      </c>
    </row>
    <row r="7">
      <c r="A7" s="2" t="inlineStr">
        <is>
          <t>Personnes-jour IV</t>
        </is>
      </c>
      <c r="B7">
        <f>Hypothèses!F17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6 : Infrastructure de l’entreprise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Hypothèses!C18</f>
        <v/>
      </c>
    </row>
    <row r="5">
      <c r="A5" s="2" t="inlineStr">
        <is>
          <t>Personnes-jour DV</t>
        </is>
      </c>
      <c r="B5">
        <f>Hypothèses!D18</f>
        <v/>
      </c>
    </row>
    <row r="6">
      <c r="A6" s="2" t="inlineStr">
        <is>
          <t>Personnes-jour IF</t>
        </is>
      </c>
      <c r="B6">
        <f>Hypothèses!E18</f>
        <v/>
      </c>
    </row>
    <row r="7">
      <c r="A7" s="2" t="inlineStr">
        <is>
          <t>Personnes-jour IV</t>
        </is>
      </c>
      <c r="B7">
        <f>Hypothèses!F18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7 : Gestion des RH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Hypothèses!C19</f>
        <v/>
      </c>
    </row>
    <row r="5">
      <c r="A5" s="2" t="inlineStr">
        <is>
          <t>Personnes-jour DV</t>
        </is>
      </c>
      <c r="B5">
        <f>Hypothèses!D19</f>
        <v/>
      </c>
    </row>
    <row r="6">
      <c r="A6" s="2" t="inlineStr">
        <is>
          <t>Personnes-jour IF</t>
        </is>
      </c>
      <c r="B6">
        <f>Hypothèses!E19</f>
        <v/>
      </c>
    </row>
    <row r="7">
      <c r="A7" s="2" t="inlineStr">
        <is>
          <t>Personnes-jour IV</t>
        </is>
      </c>
      <c r="B7">
        <f>Hypothèses!F19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8 : Développement technologique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Hypothèses!C20</f>
        <v/>
      </c>
    </row>
    <row r="5">
      <c r="A5" s="2" t="inlineStr">
        <is>
          <t>Personnes-jour DV</t>
        </is>
      </c>
      <c r="B5">
        <f>Hypothèses!D20</f>
        <v/>
      </c>
    </row>
    <row r="6">
      <c r="A6" s="2" t="inlineStr">
        <is>
          <t>Personnes-jour IF</t>
        </is>
      </c>
      <c r="B6">
        <f>Hypothèses!E20</f>
        <v/>
      </c>
    </row>
    <row r="7">
      <c r="A7" s="2" t="inlineStr">
        <is>
          <t>Personnes-jour IV</t>
        </is>
      </c>
      <c r="B7">
        <f>Hypothèses!F20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Activité 9 : Approvisionnement</t>
        </is>
      </c>
    </row>
    <row r="3">
      <c r="A3" s="2" t="inlineStr">
        <is>
          <t>TJM (€/jour/personne)</t>
        </is>
      </c>
      <c r="B3">
        <f>Hypothèses!B6</f>
        <v/>
      </c>
    </row>
    <row r="4">
      <c r="A4" s="2" t="inlineStr">
        <is>
          <t>Personnes-jour DF</t>
        </is>
      </c>
      <c r="B4">
        <f>Hypothèses!C21</f>
        <v/>
      </c>
    </row>
    <row r="5">
      <c r="A5" s="2" t="inlineStr">
        <is>
          <t>Personnes-jour DV</t>
        </is>
      </c>
      <c r="B5">
        <f>Hypothèses!D21</f>
        <v/>
      </c>
    </row>
    <row r="6">
      <c r="A6" s="2" t="inlineStr">
        <is>
          <t>Personnes-jour IF</t>
        </is>
      </c>
      <c r="B6">
        <f>Hypothèses!E21</f>
        <v/>
      </c>
    </row>
    <row r="7">
      <c r="A7" s="2" t="inlineStr">
        <is>
          <t>Personnes-jour IV</t>
        </is>
      </c>
      <c r="B7">
        <f>Hypothèses!F21</f>
        <v/>
      </c>
    </row>
    <row r="9">
      <c r="A9" s="3" t="inlineStr">
        <is>
          <t>Type de coût</t>
        </is>
      </c>
      <c r="B9" s="3" t="inlineStr">
        <is>
          <t>Personnes-jour</t>
        </is>
      </c>
      <c r="C9" s="3" t="inlineStr">
        <is>
          <t>TJM</t>
        </is>
      </c>
      <c r="D9" s="3" t="inlineStr">
        <is>
          <t>Coût (€)</t>
        </is>
      </c>
    </row>
    <row r="10">
      <c r="A10" s="4" t="inlineStr">
        <is>
          <t>DF (direct fixe)</t>
        </is>
      </c>
      <c r="B10" s="4">
        <f>B4</f>
        <v/>
      </c>
      <c r="C10" s="4">
        <f>B3</f>
        <v/>
      </c>
      <c r="D10" s="6">
        <f>B10*C10</f>
        <v/>
      </c>
    </row>
    <row r="11">
      <c r="A11" s="4" t="inlineStr">
        <is>
          <t>DV (direct variable)</t>
        </is>
      </c>
      <c r="B11" s="4">
        <f>B5</f>
        <v/>
      </c>
      <c r="C11" s="4">
        <f>B3</f>
        <v/>
      </c>
      <c r="D11" s="6">
        <f>B11*C11</f>
        <v/>
      </c>
    </row>
    <row r="12">
      <c r="A12" s="4" t="inlineStr">
        <is>
          <t>IF (indirect fixe)</t>
        </is>
      </c>
      <c r="B12" s="4">
        <f>B6</f>
        <v/>
      </c>
      <c r="C12" s="4">
        <f>B3</f>
        <v/>
      </c>
      <c r="D12" s="6">
        <f>B12*C12</f>
        <v/>
      </c>
    </row>
    <row r="13">
      <c r="A13" s="4" t="inlineStr">
        <is>
          <t>IV (indirect variable)</t>
        </is>
      </c>
      <c r="B13" s="4">
        <f>B7</f>
        <v/>
      </c>
      <c r="C13" s="4">
        <f>B3</f>
        <v/>
      </c>
      <c r="D13" s="6">
        <f>B13*C13</f>
        <v/>
      </c>
    </row>
    <row r="15">
      <c r="C15" s="2" t="inlineStr">
        <is>
          <t>Total activité</t>
        </is>
      </c>
      <c r="D15" s="7">
        <f>SUM(D10:D13)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Synthèse des coûts par activité (Porter)</t>
        </is>
      </c>
    </row>
    <row r="3">
      <c r="A3" s="3" t="inlineStr">
        <is>
          <t>Activité de Porter</t>
        </is>
      </c>
      <c r="B3" s="3" t="inlineStr">
        <is>
          <t>DF (€)</t>
        </is>
      </c>
      <c r="C3" s="3" t="inlineStr">
        <is>
          <t>DV (€)</t>
        </is>
      </c>
      <c r="D3" s="3" t="inlineStr">
        <is>
          <t>IF (€)</t>
        </is>
      </c>
      <c r="E3" s="3" t="inlineStr">
        <is>
          <t>IV (€)</t>
        </is>
      </c>
      <c r="F3" s="3" t="inlineStr">
        <is>
          <t>Total (€)</t>
        </is>
      </c>
    </row>
    <row r="4">
      <c r="A4" t="inlineStr">
        <is>
          <t>Logistique interne</t>
        </is>
      </c>
      <c r="B4" s="8">
        <f>'1. Logistique interne'!D10</f>
        <v/>
      </c>
      <c r="C4" s="8">
        <f>'1. Logistique interne'!D11</f>
        <v/>
      </c>
      <c r="D4" s="8">
        <f>'1. Logistique interne'!D12</f>
        <v/>
      </c>
      <c r="E4" s="8">
        <f>'1. Logistique interne'!D13</f>
        <v/>
      </c>
      <c r="F4" s="8">
        <f>'1. Logistique interne'!D15</f>
        <v/>
      </c>
    </row>
    <row r="5">
      <c r="A5" t="inlineStr">
        <is>
          <t>Opérations</t>
        </is>
      </c>
      <c r="B5" s="8">
        <f>'2. Opérations'!D10</f>
        <v/>
      </c>
      <c r="C5" s="8">
        <f>'2. Opérations'!D11</f>
        <v/>
      </c>
      <c r="D5" s="8">
        <f>'2. Opérations'!D12</f>
        <v/>
      </c>
      <c r="E5" s="8">
        <f>'2. Opérations'!D13</f>
        <v/>
      </c>
      <c r="F5" s="8">
        <f>'2. Opérations'!D15</f>
        <v/>
      </c>
    </row>
    <row r="6">
      <c r="A6" t="inlineStr">
        <is>
          <t>Logistique externe</t>
        </is>
      </c>
      <c r="B6" s="8">
        <f>'3. Logistique externe'!D10</f>
        <v/>
      </c>
      <c r="C6" s="8">
        <f>'3. Logistique externe'!D11</f>
        <v/>
      </c>
      <c r="D6" s="8">
        <f>'3. Logistique externe'!D12</f>
        <v/>
      </c>
      <c r="E6" s="8">
        <f>'3. Logistique externe'!D13</f>
        <v/>
      </c>
      <c r="F6" s="8">
        <f>'3. Logistique externe'!D15</f>
        <v/>
      </c>
    </row>
    <row r="7">
      <c r="A7" t="inlineStr">
        <is>
          <t>Marketing &amp; vente</t>
        </is>
      </c>
      <c r="B7" s="8">
        <f>'4. Marketing &amp; vente'!D10</f>
        <v/>
      </c>
      <c r="C7" s="8">
        <f>'4. Marketing &amp; vente'!D11</f>
        <v/>
      </c>
      <c r="D7" s="8">
        <f>'4. Marketing &amp; vente'!D12</f>
        <v/>
      </c>
      <c r="E7" s="8">
        <f>'4. Marketing &amp; vente'!D13</f>
        <v/>
      </c>
      <c r="F7" s="8">
        <f>'4. Marketing &amp; vente'!D15</f>
        <v/>
      </c>
    </row>
    <row r="8">
      <c r="A8" t="inlineStr">
        <is>
          <t>Services</t>
        </is>
      </c>
      <c r="B8" s="8">
        <f>'5. Services'!D10</f>
        <v/>
      </c>
      <c r="C8" s="8">
        <f>'5. Services'!D11</f>
        <v/>
      </c>
      <c r="D8" s="8">
        <f>'5. Services'!D12</f>
        <v/>
      </c>
      <c r="E8" s="8">
        <f>'5. Services'!D13</f>
        <v/>
      </c>
      <c r="F8" s="8">
        <f>'5. Services'!D15</f>
        <v/>
      </c>
    </row>
    <row r="9">
      <c r="A9" t="inlineStr">
        <is>
          <t>Infrastructure de l’entreprise</t>
        </is>
      </c>
      <c r="B9" s="8">
        <f>'6. Infrastructure de l’entre'!D10</f>
        <v/>
      </c>
      <c r="C9" s="8">
        <f>'6. Infrastructure de l’entre'!D11</f>
        <v/>
      </c>
      <c r="D9" s="8">
        <f>'6. Infrastructure de l’entre'!D12</f>
        <v/>
      </c>
      <c r="E9" s="8">
        <f>'6. Infrastructure de l’entre'!D13</f>
        <v/>
      </c>
      <c r="F9" s="8">
        <f>'6. Infrastructure de l’entre'!D15</f>
        <v/>
      </c>
    </row>
    <row r="10">
      <c r="A10" t="inlineStr">
        <is>
          <t>Gestion des RH</t>
        </is>
      </c>
      <c r="B10" s="8">
        <f>'7. Gestion des RH'!D10</f>
        <v/>
      </c>
      <c r="C10" s="8">
        <f>'7. Gestion des RH'!D11</f>
        <v/>
      </c>
      <c r="D10" s="8">
        <f>'7. Gestion des RH'!D12</f>
        <v/>
      </c>
      <c r="E10" s="8">
        <f>'7. Gestion des RH'!D13</f>
        <v/>
      </c>
      <c r="F10" s="8">
        <f>'7. Gestion des RH'!D15</f>
        <v/>
      </c>
    </row>
    <row r="11">
      <c r="A11" t="inlineStr">
        <is>
          <t>Développement technologique</t>
        </is>
      </c>
      <c r="B11" s="8">
        <f>'8. Développement technologiq'!D10</f>
        <v/>
      </c>
      <c r="C11" s="8">
        <f>'8. Développement technologiq'!D11</f>
        <v/>
      </c>
      <c r="D11" s="8">
        <f>'8. Développement technologiq'!D12</f>
        <v/>
      </c>
      <c r="E11" s="8">
        <f>'8. Développement technologiq'!D13</f>
        <v/>
      </c>
      <c r="F11" s="8">
        <f>'8. Développement technologiq'!D15</f>
        <v/>
      </c>
    </row>
    <row r="12">
      <c r="A12" t="inlineStr">
        <is>
          <t>Approvisionnement</t>
        </is>
      </c>
      <c r="B12" s="8">
        <f>'9. Approvisionnement'!D10</f>
        <v/>
      </c>
      <c r="C12" s="8">
        <f>'9. Approvisionnement'!D11</f>
        <v/>
      </c>
      <c r="D12" s="8">
        <f>'9. Approvisionnement'!D12</f>
        <v/>
      </c>
      <c r="E12" s="8">
        <f>'9. Approvisionnement'!D13</f>
        <v/>
      </c>
      <c r="F12" s="8">
        <f>'9. Approvisionnement'!D15</f>
        <v/>
      </c>
    </row>
    <row r="13">
      <c r="A13" s="2" t="inlineStr">
        <is>
          <t>Total</t>
        </is>
      </c>
      <c r="B13" s="9">
        <f>SUM(B4:B12)</f>
        <v/>
      </c>
      <c r="C13" s="9">
        <f>SUM(C4:C12)</f>
        <v/>
      </c>
      <c r="D13" s="9">
        <f>SUM(D4:D12)</f>
        <v/>
      </c>
      <c r="E13" s="9">
        <f>SUM(E4:E12)</f>
        <v/>
      </c>
      <c r="F13" s="9">
        <f>SUM(F4:F12)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2026-02-04T12:15:41Z</dcterms:created>
  <dcterms:modified xsi:type="dcterms:W3CDTF">2026-02-04T12:15:41Z</dcterms:modified>
</cp:coreProperties>
</file>