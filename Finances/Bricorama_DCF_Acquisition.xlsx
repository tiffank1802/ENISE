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Calculs_DCF" sheetId="2" state="visible" r:id="rId2"/>
    <sheet name="Valorisation" sheetId="3" state="visible" r:id="rId3"/>
    <sheet name="Budget_Tresorerie" sheetId="4" state="visible" r:id="rId4"/>
    <sheet name="Ratios_Analy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/>
    <font>
      <b val="1"/>
    </font>
    <font>
      <b val="1"/>
      <sz val="12"/>
    </font>
    <font>
      <b val="1"/>
      <color rgb="00C00000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166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3" fontId="0" fillId="0" borderId="0" pivotButton="0" quotePrefix="0" xfId="0"/>
    <xf numFmtId="10" fontId="0" fillId="0" borderId="0" pivotButton="0" quotePrefix="0" xfId="0"/>
    <xf numFmtId="3" fontId="4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5" customWidth="1" min="4" max="4"/>
  </cols>
  <sheetData>
    <row r="1">
      <c r="A1" s="1" t="inlineStr">
        <is>
          <t>HYPOTHÈSES - ACQUISITION BRICORAMA FRANCE</t>
        </is>
      </c>
    </row>
    <row r="3">
      <c r="A3" s="2" t="inlineStr">
        <is>
          <t>1. DONNÉES DE L'ANNÉE DE BASE (N = 2024)</t>
        </is>
      </c>
    </row>
    <row r="4">
      <c r="A4" s="3" t="inlineStr">
        <is>
          <t>Chiffre d'Affaires (CA_N)</t>
        </is>
      </c>
      <c r="B4" s="4" t="n">
        <v>500000000</v>
      </c>
      <c r="C4" s="3" t="inlineStr">
        <is>
          <t>€</t>
        </is>
      </c>
    </row>
    <row r="5">
      <c r="A5" s="3" t="inlineStr">
        <is>
          <t>EBE (EBE_N)</t>
        </is>
      </c>
      <c r="B5" s="4" t="n">
        <v>40000000</v>
      </c>
      <c r="C5" s="3" t="inlineStr">
        <is>
          <t>€</t>
        </is>
      </c>
    </row>
    <row r="6">
      <c r="A6" s="3" t="inlineStr">
        <is>
          <t>Résultat d'Exploitation (EBIT_N)</t>
        </is>
      </c>
      <c r="B6" s="4" t="n">
        <v>30000000</v>
      </c>
      <c r="C6" s="3" t="inlineStr">
        <is>
          <t>€</t>
        </is>
      </c>
    </row>
    <row r="7">
      <c r="A7" s="3" t="inlineStr">
        <is>
          <t>BFR (BFR_N)</t>
        </is>
      </c>
      <c r="B7" s="4" t="n">
        <v>50000000</v>
      </c>
      <c r="C7" s="3" t="inlineStr">
        <is>
          <t>€</t>
        </is>
      </c>
    </row>
    <row r="8">
      <c r="A8" s="3" t="inlineStr">
        <is>
          <t>Capex (Capex_N)</t>
        </is>
      </c>
      <c r="B8" s="4" t="n">
        <v>12000000</v>
      </c>
      <c r="C8" s="3" t="inlineStr">
        <is>
          <t>€</t>
        </is>
      </c>
    </row>
    <row r="9">
      <c r="A9" s="3" t="inlineStr">
        <is>
          <t>Dettes financières totales</t>
        </is>
      </c>
      <c r="B9" s="4" t="n">
        <v>80000000</v>
      </c>
      <c r="C9" s="3" t="inlineStr">
        <is>
          <t>€</t>
        </is>
      </c>
    </row>
    <row r="10">
      <c r="A10" s="3" t="inlineStr">
        <is>
          <t>Trésorerie</t>
        </is>
      </c>
      <c r="B10" s="4" t="n">
        <v>10000000</v>
      </c>
      <c r="C10" s="3" t="inlineStr">
        <is>
          <t>€</t>
        </is>
      </c>
    </row>
    <row r="12">
      <c r="A12" s="2" t="inlineStr">
        <is>
          <t>2. TAUX ET HYPOTHÈSES DE CROISSANCE</t>
        </is>
      </c>
    </row>
    <row r="13">
      <c r="A13" s="3" t="inlineStr">
        <is>
          <t>Taux d'impôt sur les sociétés</t>
        </is>
      </c>
      <c r="B13" s="5" t="n">
        <v>0.25</v>
      </c>
      <c r="C13" s="3" t="inlineStr"/>
    </row>
    <row r="14">
      <c r="A14" s="3" t="inlineStr">
        <is>
          <t>Taux d'actualisation (WACC)</t>
        </is>
      </c>
      <c r="B14" s="5" t="n">
        <v>0.08</v>
      </c>
      <c r="C14" s="3" t="inlineStr"/>
    </row>
    <row r="15">
      <c r="A15" s="3" t="inlineStr">
        <is>
          <t>Taux de croissance du volume</t>
        </is>
      </c>
      <c r="B15" s="5" t="n">
        <v>0.05</v>
      </c>
      <c r="C15" s="3" t="inlineStr"/>
    </row>
    <row r="16">
      <c r="A16" s="3" t="inlineStr">
        <is>
          <t>Taux d'inflation prix de vente</t>
        </is>
      </c>
      <c r="B16" s="5" t="n">
        <v>0.05</v>
      </c>
      <c r="C16" s="3" t="inlineStr"/>
    </row>
    <row r="17">
      <c r="A17" s="3" t="inlineStr">
        <is>
          <t>Taux d'inflation coûts</t>
        </is>
      </c>
      <c r="B17" s="5" t="n">
        <v>0.05</v>
      </c>
      <c r="C17" s="3" t="inlineStr"/>
    </row>
    <row r="18">
      <c r="A18" s="3" t="inlineStr">
        <is>
          <t>Horizon de projection (années)</t>
        </is>
      </c>
      <c r="B18" s="6" t="n">
        <v>5</v>
      </c>
      <c r="C18" s="3" t="inlineStr">
        <is>
          <t>ans</t>
        </is>
      </c>
    </row>
    <row r="19">
      <c r="A19" s="3" t="inlineStr">
        <is>
          <t>Taux de croissance long terme (g_inf)</t>
        </is>
      </c>
      <c r="B19" s="5" t="n">
        <v>0.02</v>
      </c>
      <c r="C19" s="3" t="inlineStr"/>
    </row>
    <row r="20">
      <c r="A20" s="3" t="inlineStr">
        <is>
          <t>Multiple EBE pour dette max</t>
        </is>
      </c>
      <c r="B20" s="6" t="n">
        <v>3.5</v>
      </c>
      <c r="C20" s="3" t="inlineStr">
        <is>
          <t>x</t>
        </is>
      </c>
    </row>
    <row r="21">
      <c r="A21" s="3" t="inlineStr">
        <is>
          <t>Taux dette senior</t>
        </is>
      </c>
      <c r="B21" s="5" t="n">
        <v>0.05</v>
      </c>
      <c r="C21" s="3" t="inlineStr"/>
    </row>
    <row r="23">
      <c r="A23" s="2" t="inlineStr">
        <is>
          <t>3. RATIOS CALCULÉS (FORMULES)</t>
        </is>
      </c>
    </row>
    <row r="24">
      <c r="A24" s="3" t="inlineStr">
        <is>
          <t>Marge EBE (EBE/CA)</t>
        </is>
      </c>
      <c r="B24" s="5">
        <f>B5/B4</f>
        <v/>
      </c>
      <c r="C24" s="3" t="inlineStr">
        <is>
          <t>Formule: EBE_N / CA_N</t>
        </is>
      </c>
    </row>
    <row r="25">
      <c r="A25" s="3" t="inlineStr">
        <is>
          <t>Marge EBIT (EBIT/CA)</t>
        </is>
      </c>
      <c r="B25" s="5">
        <f>B6/B4</f>
        <v/>
      </c>
      <c r="C25" s="3" t="inlineStr">
        <is>
          <t>Formule: EBIT_N / CA_N</t>
        </is>
      </c>
    </row>
    <row r="26">
      <c r="A26" s="3" t="inlineStr">
        <is>
          <t>Ratio Capex/CA</t>
        </is>
      </c>
      <c r="B26" s="5">
        <f>B8/B4</f>
        <v/>
      </c>
      <c r="C26" s="3" t="inlineStr">
        <is>
          <t>Formule: Capex_N / CA_N</t>
        </is>
      </c>
    </row>
    <row r="27">
      <c r="A27" s="3" t="inlineStr">
        <is>
          <t>Ratio BFR/CA</t>
        </is>
      </c>
      <c r="B27" s="5">
        <f>B7/B4</f>
        <v/>
      </c>
      <c r="C27" s="3" t="inlineStr">
        <is>
          <t>Formule: BFR_N / CA_N</t>
        </is>
      </c>
    </row>
    <row r="28">
      <c r="A28" s="3" t="inlineStr">
        <is>
          <t>Croissance nominale CA</t>
        </is>
      </c>
      <c r="B28" s="5">
        <f>(1+B15)*(1+B16)-1</f>
        <v/>
      </c>
      <c r="C28" s="3" t="inlineStr">
        <is>
          <t>Formule: (1+g_vol)*(1+g_prix)-1</t>
        </is>
      </c>
    </row>
    <row r="29">
      <c r="A29" s="3" t="inlineStr">
        <is>
          <t>Dette nette</t>
        </is>
      </c>
      <c r="B29" s="4">
        <f>B9-B10</f>
        <v/>
      </c>
      <c r="C29" s="3" t="inlineStr">
        <is>
          <t>Formule: Dettes - Trésorerie</t>
        </is>
      </c>
    </row>
  </sheetData>
  <mergeCells count="4">
    <mergeCell ref="A1:D1"/>
    <mergeCell ref="A12:D12"/>
    <mergeCell ref="A3:D3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PROJECTION DES FLUX DE TRÉSORERIE (DCF) - 5 ANS</t>
        </is>
      </c>
    </row>
    <row r="3">
      <c r="A3" s="7" t="inlineStr">
        <is>
          <t>Poste</t>
        </is>
      </c>
      <c r="B3" s="7" t="inlineStr">
        <is>
          <t>Année N (Base)</t>
        </is>
      </c>
      <c r="C3" s="7" t="inlineStr">
        <is>
          <t>N+1</t>
        </is>
      </c>
      <c r="D3" s="7" t="inlineStr">
        <is>
          <t>N+2</t>
        </is>
      </c>
      <c r="E3" s="7" t="inlineStr">
        <is>
          <t>N+3</t>
        </is>
      </c>
      <c r="F3" s="7" t="inlineStr">
        <is>
          <t>N+4</t>
        </is>
      </c>
      <c r="G3" s="7" t="inlineStr">
        <is>
          <t>N+5</t>
        </is>
      </c>
    </row>
    <row r="4">
      <c r="A4" s="8" t="inlineStr">
        <is>
          <t>Chiffre d'Affaires (CA)</t>
        </is>
      </c>
      <c r="B4" s="4">
        <f>Hypotheses!B4</f>
        <v/>
      </c>
      <c r="C4" s="4">
        <f>B4*(1+Hypotheses!$B$28)</f>
        <v/>
      </c>
      <c r="D4" s="4">
        <f>C4*(1+Hypotheses!$B$28)</f>
        <v/>
      </c>
      <c r="E4" s="4">
        <f>D4*(1+Hypotheses!$B$28)</f>
        <v/>
      </c>
      <c r="F4" s="4">
        <f>E4*(1+Hypotheses!$B$28)</f>
        <v/>
      </c>
      <c r="G4" s="4">
        <f>F4*(1+Hypotheses!$B$28)</f>
        <v/>
      </c>
    </row>
    <row r="5">
      <c r="A5" s="8" t="inlineStr">
        <is>
          <t>Croissance CA (%)</t>
        </is>
      </c>
      <c r="B5" s="5" t="inlineStr">
        <is>
          <t>-</t>
        </is>
      </c>
      <c r="C5" s="5">
        <f>(C4-B4)/B4</f>
        <v/>
      </c>
      <c r="D5" s="5">
        <f>(D4-C4)/C4</f>
        <v/>
      </c>
      <c r="E5" s="5">
        <f>(E4-D4)/D4</f>
        <v/>
      </c>
      <c r="F5" s="5">
        <f>(F4-E4)/E4</f>
        <v/>
      </c>
      <c r="G5" s="5">
        <f>(G4-F4)/F4</f>
        <v/>
      </c>
    </row>
    <row r="6">
      <c r="A6" s="8" t="inlineStr">
        <is>
          <t>EBE (EBITDA)</t>
        </is>
      </c>
      <c r="B6" s="4">
        <f>Hypotheses!B5</f>
        <v/>
      </c>
      <c r="C6" s="4">
        <f>C4*Hypotheses!$B$24</f>
        <v/>
      </c>
      <c r="D6" s="4">
        <f>D4*Hypotheses!$B$24</f>
        <v/>
      </c>
      <c r="E6" s="4">
        <f>E4*Hypotheses!$B$24</f>
        <v/>
      </c>
      <c r="F6" s="4">
        <f>F4*Hypotheses!$B$24</f>
        <v/>
      </c>
      <c r="G6" s="4">
        <f>G4*Hypotheses!$B$24</f>
        <v/>
      </c>
    </row>
    <row r="7">
      <c r="A7" s="8" t="inlineStr">
        <is>
          <t>Marge EBE (%)</t>
        </is>
      </c>
      <c r="B7" s="5">
        <f>B6/B4</f>
        <v/>
      </c>
      <c r="C7" s="5">
        <f>C6/C4</f>
        <v/>
      </c>
      <c r="D7" s="5">
        <f>D6/D4</f>
        <v/>
      </c>
      <c r="E7" s="5">
        <f>E6/E4</f>
        <v/>
      </c>
      <c r="F7" s="5">
        <f>F6/F4</f>
        <v/>
      </c>
      <c r="G7" s="5">
        <f>G6/G4</f>
        <v/>
      </c>
    </row>
    <row r="8">
      <c r="A8" s="8" t="inlineStr">
        <is>
          <t>Résultat d'Exploitation (EBIT)</t>
        </is>
      </c>
      <c r="B8" s="4">
        <f>Hypotheses!B6</f>
        <v/>
      </c>
      <c r="C8" s="4">
        <f>C4*Hypotheses!$B$25</f>
        <v/>
      </c>
      <c r="D8" s="4">
        <f>D4*Hypotheses!$B$25</f>
        <v/>
      </c>
      <c r="E8" s="4">
        <f>E4*Hypotheses!$B$25</f>
        <v/>
      </c>
      <c r="F8" s="4">
        <f>F4*Hypotheses!$B$25</f>
        <v/>
      </c>
      <c r="G8" s="4">
        <f>G4*Hypotheses!$B$25</f>
        <v/>
      </c>
    </row>
    <row r="9">
      <c r="A9" s="8" t="inlineStr">
        <is>
          <t>- Impôt sur Sociétés (25%)</t>
        </is>
      </c>
      <c r="B9" s="5">
        <f>B8*Hypotheses!$B$13</f>
        <v/>
      </c>
      <c r="C9" s="5">
        <f>C8*Hypotheses!$B$13</f>
        <v/>
      </c>
      <c r="D9" s="5">
        <f>D8*Hypotheses!$B$13</f>
        <v/>
      </c>
      <c r="E9" s="5">
        <f>E8*Hypotheses!$B$13</f>
        <v/>
      </c>
      <c r="F9" s="5">
        <f>F8*Hypotheses!$B$13</f>
        <v/>
      </c>
      <c r="G9" s="5">
        <f>G8*Hypotheses!$B$13</f>
        <v/>
      </c>
    </row>
    <row r="10">
      <c r="A10" s="8" t="inlineStr">
        <is>
          <t>+ Dotations Amort. (EBITDA-EBIT)</t>
        </is>
      </c>
      <c r="B10" s="4">
        <f>B6-B8</f>
        <v/>
      </c>
      <c r="C10" s="4">
        <f>C6-C8</f>
        <v/>
      </c>
      <c r="D10" s="4">
        <f>D6-D8</f>
        <v/>
      </c>
      <c r="E10" s="4">
        <f>E6-E8</f>
        <v/>
      </c>
      <c r="F10" s="4">
        <f>F6-F8</f>
        <v/>
      </c>
      <c r="G10" s="4">
        <f>G6-G8</f>
        <v/>
      </c>
    </row>
    <row r="11">
      <c r="A11" s="8" t="inlineStr">
        <is>
          <t>- Investissements (Capex)</t>
        </is>
      </c>
      <c r="B11" s="4">
        <f>Hypotheses!B8</f>
        <v/>
      </c>
      <c r="C11" s="4">
        <f>C4*Hypotheses!$B$26</f>
        <v/>
      </c>
      <c r="D11" s="4">
        <f>D4*Hypotheses!$B$26</f>
        <v/>
      </c>
      <c r="E11" s="4">
        <f>E4*Hypotheses!$B$26</f>
        <v/>
      </c>
      <c r="F11" s="4">
        <f>F4*Hypotheses!$B$26</f>
        <v/>
      </c>
      <c r="G11" s="4">
        <f>G4*Hypotheses!$B$26</f>
        <v/>
      </c>
    </row>
    <row r="12">
      <c r="A12" s="8" t="inlineStr">
        <is>
          <t>BFR (stock)</t>
        </is>
      </c>
      <c r="B12" s="4">
        <f>Hypotheses!B7</f>
        <v/>
      </c>
      <c r="C12" s="4">
        <f>C4*Hypotheses!$B$27</f>
        <v/>
      </c>
      <c r="D12" s="4">
        <f>D4*Hypotheses!$B$27</f>
        <v/>
      </c>
      <c r="E12" s="4">
        <f>E4*Hypotheses!$B$27</f>
        <v/>
      </c>
      <c r="F12" s="4">
        <f>F4*Hypotheses!$B$27</f>
        <v/>
      </c>
      <c r="G12" s="4">
        <f>G4*Hypotheses!$B$27</f>
        <v/>
      </c>
    </row>
    <row r="13">
      <c r="A13" s="8" t="inlineStr">
        <is>
          <t>- Variation de BFR</t>
        </is>
      </c>
      <c r="B13" s="4" t="inlineStr">
        <is>
          <t>-</t>
        </is>
      </c>
      <c r="C13" s="4">
        <f>C12-B12</f>
        <v/>
      </c>
      <c r="D13" s="4">
        <f>D12-C12</f>
        <v/>
      </c>
      <c r="E13" s="4">
        <f>E12-D12</f>
        <v/>
      </c>
      <c r="F13" s="4">
        <f>F12-E12</f>
        <v/>
      </c>
      <c r="G13" s="4">
        <f>G12-F12</f>
        <v/>
      </c>
    </row>
    <row r="14">
      <c r="A14" s="8" t="inlineStr"/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9">
        <f> Flux de Trésorerie Disponible (FCF)</f>
        <v/>
      </c>
      <c r="B15" s="4" t="inlineStr">
        <is>
          <t>-</t>
        </is>
      </c>
      <c r="C15" s="4">
        <f>C6-C9-C13-C11</f>
        <v/>
      </c>
      <c r="D15" s="4">
        <f>D6-D9-D13-D11</f>
        <v/>
      </c>
      <c r="E15" s="4">
        <f>E6-E9-E13-E11</f>
        <v/>
      </c>
      <c r="F15" s="4">
        <f>F6-F9-F13-F11</f>
        <v/>
      </c>
      <c r="G15" s="4">
        <f>G6-G9-G13-G11</f>
        <v/>
      </c>
    </row>
    <row r="18">
      <c r="A18" s="2" t="inlineStr">
        <is>
          <t>ACTUALISATION DES FLUX</t>
        </is>
      </c>
    </row>
    <row r="19">
      <c r="A19" s="4" t="inlineStr">
        <is>
          <t>Année</t>
        </is>
      </c>
      <c r="B19" s="4" t="inlineStr"/>
      <c r="C19" s="4" t="inlineStr">
        <is>
          <t>1</t>
        </is>
      </c>
      <c r="D19" s="4" t="inlineStr">
        <is>
          <t>2</t>
        </is>
      </c>
      <c r="E19" s="4" t="inlineStr">
        <is>
          <t>3</t>
        </is>
      </c>
      <c r="F19" s="4" t="inlineStr">
        <is>
          <t>4</t>
        </is>
      </c>
      <c r="G19" s="4" t="inlineStr">
        <is>
          <t>5</t>
        </is>
      </c>
    </row>
    <row r="20">
      <c r="A20" s="10" t="inlineStr">
        <is>
          <t>Facteur d'actualisation</t>
        </is>
      </c>
      <c r="B20" s="10" t="inlineStr">
        <is>
          <t>-</t>
        </is>
      </c>
      <c r="C20" s="10">
        <f>1/(1+Hypotheses!$B$14)^C19</f>
        <v/>
      </c>
      <c r="D20" s="10">
        <f>1/(1+Hypotheses!$B$14)^D19</f>
        <v/>
      </c>
      <c r="E20" s="10">
        <f>1/(1+Hypotheses!$B$14)^E19</f>
        <v/>
      </c>
      <c r="F20" s="10">
        <f>1/(1+Hypotheses!$B$14)^F19</f>
        <v/>
      </c>
      <c r="G20" s="10">
        <f>1/(1+Hypotheses!$B$14)^G19</f>
        <v/>
      </c>
    </row>
    <row r="21">
      <c r="A21" s="4" t="inlineStr">
        <is>
          <t>FCF Actualisé</t>
        </is>
      </c>
      <c r="B21" s="4" t="inlineStr">
        <is>
          <t>-</t>
        </is>
      </c>
      <c r="C21" s="4">
        <f>C15*C20</f>
        <v/>
      </c>
      <c r="D21" s="4">
        <f>D15*D20</f>
        <v/>
      </c>
      <c r="E21" s="4">
        <f>E15*E20</f>
        <v/>
      </c>
      <c r="F21" s="4">
        <f>F15*F20</f>
        <v/>
      </c>
      <c r="G21" s="4">
        <f>G15*G20</f>
        <v/>
      </c>
    </row>
  </sheetData>
  <mergeCells count="2">
    <mergeCell ref="A18:G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8" customWidth="1" min="3" max="3"/>
    <col width="35" customWidth="1" min="4" max="4"/>
  </cols>
  <sheetData>
    <row r="1">
      <c r="A1" s="1" t="inlineStr">
        <is>
          <t>VALORISATION DE L'ENTREPRISE</t>
        </is>
      </c>
    </row>
    <row r="3">
      <c r="A3" s="2" t="inlineStr">
        <is>
          <t>1. VAN DES FLUX DE TRÉSORERIE</t>
        </is>
      </c>
    </row>
    <row r="4">
      <c r="A4" s="3" t="inlineStr">
        <is>
          <t>Somme des FCF actualisés (5 ans)</t>
        </is>
      </c>
      <c r="B4" s="4">
        <f>SUM(Calculs_DCF!C21:G21)</f>
        <v/>
      </c>
      <c r="C4" s="3" t="inlineStr">
        <is>
          <t>€</t>
        </is>
      </c>
      <c r="D4" s="3" t="inlineStr">
        <is>
          <t>Formule: Σ FCF_actualisé</t>
        </is>
      </c>
    </row>
    <row r="5">
      <c r="A5" s="3" t="n"/>
      <c r="B5" s="3" t="n"/>
      <c r="C5" s="3" t="n"/>
      <c r="D5" s="3" t="n"/>
    </row>
    <row r="6">
      <c r="A6" s="11" t="inlineStr">
        <is>
          <t>2. VALEUR TERMINALE</t>
        </is>
      </c>
      <c r="B6" s="3" t="n"/>
      <c r="C6" s="3" t="n"/>
      <c r="D6" s="3" t="n"/>
    </row>
    <row r="7">
      <c r="A7" s="3" t="inlineStr">
        <is>
          <t>FCF année 5 (FCF_T)</t>
        </is>
      </c>
      <c r="B7" s="4">
        <f>Calculs_DCF!G15</f>
        <v/>
      </c>
      <c r="C7" s="3" t="inlineStr">
        <is>
          <t>€</t>
        </is>
      </c>
      <c r="D7" s="3" t="n"/>
    </row>
    <row r="8">
      <c r="A8" s="3" t="inlineStr">
        <is>
          <t>FCF année 6 (FCF_T+1)</t>
        </is>
      </c>
      <c r="B8" s="4">
        <f>B7*(1+Hypotheses!B19)</f>
        <v/>
      </c>
      <c r="C8" s="3" t="inlineStr">
        <is>
          <t>€</t>
        </is>
      </c>
      <c r="D8" s="3" t="inlineStr">
        <is>
          <t>Formule: FCF_T × (1 + g_inf)</t>
        </is>
      </c>
    </row>
    <row r="9">
      <c r="A9" s="3" t="inlineStr">
        <is>
          <t>Valeur Terminale (non actualisée)</t>
        </is>
      </c>
      <c r="B9" s="4">
        <f>B8/(Hypotheses!B14-Hypotheses!B19)</f>
        <v/>
      </c>
      <c r="C9" s="3" t="inlineStr">
        <is>
          <t>€</t>
        </is>
      </c>
      <c r="D9" s="3" t="inlineStr">
        <is>
          <t>Formule: FCF_T+1 / (WACC - g_inf)</t>
        </is>
      </c>
    </row>
    <row r="10">
      <c r="A10" s="3" t="inlineStr">
        <is>
          <t>Valeur Terminale Actualisée</t>
        </is>
      </c>
      <c r="B10" s="4">
        <f>B9/((1+Hypotheses!B14)^Hypotheses!B18)</f>
        <v/>
      </c>
      <c r="C10" s="3" t="inlineStr">
        <is>
          <t>€</t>
        </is>
      </c>
      <c r="D10" s="3" t="inlineStr">
        <is>
          <t>Formule: VT / (1+WACC)^5</t>
        </is>
      </c>
    </row>
    <row r="11">
      <c r="A11" s="3" t="n"/>
      <c r="B11" s="3" t="n"/>
      <c r="C11" s="3" t="n"/>
      <c r="D11" s="3" t="n"/>
    </row>
    <row r="12">
      <c r="A12" s="12" t="inlineStr">
        <is>
          <t>3. VALEUR D'ENTREPRISE</t>
        </is>
      </c>
      <c r="B12" s="3" t="n"/>
      <c r="C12" s="3" t="n"/>
      <c r="D12" s="3" t="n"/>
    </row>
    <row r="13">
      <c r="A13" s="13" t="inlineStr">
        <is>
          <t>VALEUR D'ENTREPRISE (VE)</t>
        </is>
      </c>
      <c r="B13" s="14">
        <f>B4+B10</f>
        <v/>
      </c>
      <c r="C13" s="3" t="inlineStr">
        <is>
          <t>€</t>
        </is>
      </c>
      <c r="D13" s="3" t="inlineStr">
        <is>
          <t>Formule: VAN_FCF + VT_actualisée</t>
        </is>
      </c>
    </row>
    <row r="14">
      <c r="A14" s="3" t="n"/>
      <c r="B14" s="3" t="n"/>
      <c r="C14" s="3" t="n"/>
      <c r="D14" s="3" t="n"/>
    </row>
    <row r="15">
      <c r="A15" s="11" t="inlineStr">
        <is>
          <t>4. VALEUR DES TITRES (EQUITY VALUE)</t>
        </is>
      </c>
      <c r="B15" s="3" t="n"/>
      <c r="C15" s="3" t="n"/>
      <c r="D15" s="3" t="n"/>
    </row>
    <row r="16">
      <c r="A16" s="3" t="inlineStr">
        <is>
          <t>Dette nette</t>
        </is>
      </c>
      <c r="B16" s="4">
        <f>Hypotheses!B29</f>
        <v/>
      </c>
      <c r="C16" s="3" t="inlineStr">
        <is>
          <t>€</t>
        </is>
      </c>
      <c r="D16" s="3" t="n"/>
    </row>
    <row r="17">
      <c r="A17" s="13" t="inlineStr">
        <is>
          <t>VALEUR DES TITRES</t>
        </is>
      </c>
      <c r="B17" s="14">
        <f>B13-B16</f>
        <v/>
      </c>
      <c r="C17" s="3" t="inlineStr">
        <is>
          <t>€</t>
        </is>
      </c>
      <c r="D17" s="3" t="inlineStr">
        <is>
          <t>Formule: VE - Dette nette</t>
        </is>
      </c>
    </row>
    <row r="18">
      <c r="A18" s="3" t="n"/>
      <c r="B18" s="3" t="n"/>
      <c r="C18" s="3" t="n"/>
      <c r="D18" s="3" t="n"/>
    </row>
    <row r="19">
      <c r="A19" s="11" t="inlineStr">
        <is>
          <t>5. CAPACITÉ D'ENDETTEMENT ET APPORT EN CAPITAL</t>
        </is>
      </c>
      <c r="B19" s="3" t="n"/>
      <c r="C19" s="3" t="n"/>
      <c r="D19" s="3" t="n"/>
    </row>
    <row r="20">
      <c r="A20" s="3" t="inlineStr">
        <is>
          <t>EBE moyen prévisionnel</t>
        </is>
      </c>
      <c r="B20" s="4">
        <f>AVERAGE(Calculs_DCF!C6:G6)</f>
        <v/>
      </c>
      <c r="C20" s="3" t="inlineStr">
        <is>
          <t>€</t>
        </is>
      </c>
      <c r="D20" s="3" t="n"/>
    </row>
    <row r="21">
      <c r="A21" s="3" t="inlineStr">
        <is>
          <t>Multiple EBE</t>
        </is>
      </c>
      <c r="B21" s="15">
        <f>Hypotheses!B20</f>
        <v/>
      </c>
      <c r="C21" s="3" t="inlineStr">
        <is>
          <t>x</t>
        </is>
      </c>
      <c r="D21" s="3" t="n"/>
    </row>
    <row r="22">
      <c r="A22" s="3" t="inlineStr">
        <is>
          <t>Dette maximale</t>
        </is>
      </c>
      <c r="B22" s="4">
        <f>B20*B21</f>
        <v/>
      </c>
      <c r="C22" s="3" t="inlineStr">
        <is>
          <t>€</t>
        </is>
      </c>
      <c r="D22" s="3" t="inlineStr">
        <is>
          <t>Formule: EBE_moy × Multiple</t>
        </is>
      </c>
    </row>
    <row r="23">
      <c r="A23" s="16" t="inlineStr">
        <is>
          <t>APPORT EN CAPITAL MINIMUM</t>
        </is>
      </c>
      <c r="B23" s="17">
        <f>MAX(0,B17-B22)</f>
        <v/>
      </c>
      <c r="C23" s="3" t="inlineStr">
        <is>
          <t>€</t>
        </is>
      </c>
      <c r="D23" s="3" t="inlineStr">
        <is>
          <t>Formule: MAX(0, Val_titres - Dette_max)</t>
        </is>
      </c>
    </row>
  </sheetData>
  <mergeCells count="6">
    <mergeCell ref="A1:D1"/>
    <mergeCell ref="A6:D6"/>
    <mergeCell ref="A12:D12"/>
    <mergeCell ref="A3:D3"/>
    <mergeCell ref="A15:D15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DE TRÉSORERIE DE LA HOLDING</t>
        </is>
      </c>
    </row>
    <row r="3">
      <c r="A3" s="2" t="inlineStr">
        <is>
          <t>PARAMÈTRES DE LA DETTE SENIOR</t>
        </is>
      </c>
    </row>
    <row r="4">
      <c r="A4" t="inlineStr">
        <is>
          <t>Dette Senior contractée</t>
        </is>
      </c>
      <c r="B4" s="18">
        <f>MIN(Valorisation!B22,Valorisation!B17)</f>
        <v/>
      </c>
      <c r="C4" t="inlineStr">
        <is>
          <t>€</t>
        </is>
      </c>
      <c r="D4" t="inlineStr">
        <is>
          <t>Formule: MIN(Dette_max, Val_titres)</t>
        </is>
      </c>
    </row>
    <row r="5">
      <c r="A5" t="inlineStr">
        <is>
          <t>Taux d'intérêt annuel</t>
        </is>
      </c>
      <c r="B5" s="19">
        <f>Hypotheses!B21</f>
        <v/>
      </c>
    </row>
    <row r="6">
      <c r="A6" t="inlineStr">
        <is>
          <t>Durée de remboursement</t>
        </is>
      </c>
      <c r="B6">
        <f>Hypotheses!B18</f>
        <v/>
      </c>
      <c r="C6" t="inlineStr">
        <is>
          <t>ans</t>
        </is>
      </c>
    </row>
    <row r="7">
      <c r="A7" t="inlineStr">
        <is>
          <t>Remboursement annuel du principal</t>
        </is>
      </c>
      <c r="B7" s="18">
        <f>B4/B6</f>
        <v/>
      </c>
      <c r="C7" t="inlineStr">
        <is>
          <t>€</t>
        </is>
      </c>
      <c r="D7" t="inlineStr">
        <is>
          <t>Formule: Dette / Durée (linéaire)</t>
        </is>
      </c>
    </row>
    <row r="9">
      <c r="A9" s="7" t="inlineStr">
        <is>
          <t>Élément</t>
        </is>
      </c>
      <c r="B9" s="7" t="inlineStr">
        <is>
          <t>N+1</t>
        </is>
      </c>
      <c r="C9" s="7" t="inlineStr">
        <is>
          <t>N+2</t>
        </is>
      </c>
      <c r="D9" s="7" t="inlineStr">
        <is>
          <t>N+3</t>
        </is>
      </c>
      <c r="E9" s="7" t="inlineStr">
        <is>
          <t>N+4</t>
        </is>
      </c>
      <c r="F9" s="7" t="inlineStr">
        <is>
          <t>N+5</t>
        </is>
      </c>
    </row>
    <row r="10">
      <c r="A10" s="4" t="inlineStr">
        <is>
          <t>Trésorerie début de période</t>
        </is>
      </c>
      <c r="B10" s="4">
        <f>Valorisation!B23</f>
        <v/>
      </c>
      <c r="C10" s="4">
        <f>B14</f>
        <v/>
      </c>
      <c r="D10" s="4">
        <f>C14</f>
        <v/>
      </c>
      <c r="E10" s="4">
        <f>D14</f>
        <v/>
      </c>
      <c r="F10" s="4">
        <f>E14</f>
        <v/>
      </c>
    </row>
    <row r="11">
      <c r="A11" s="4" t="inlineStr">
        <is>
          <t>+ FCF remonté de la cible</t>
        </is>
      </c>
      <c r="B11" s="4">
        <f>Calculs_DCF!C15</f>
        <v/>
      </c>
      <c r="C11" s="4">
        <f>Calculs_DCF!D15</f>
        <v/>
      </c>
      <c r="D11" s="4">
        <f>Calculs_DCF!E15</f>
        <v/>
      </c>
      <c r="E11" s="4">
        <f>Calculs_DCF!F15</f>
        <v/>
      </c>
      <c r="F11" s="4">
        <f>Calculs_DCF!G15</f>
        <v/>
      </c>
    </row>
    <row r="12">
      <c r="A12" s="4" t="inlineStr">
        <is>
          <t>- Intérêts dette senior</t>
        </is>
      </c>
      <c r="B12" s="4">
        <f>$B$4*$B$5</f>
        <v/>
      </c>
      <c r="C12" s="4">
        <f>($B$4-$B$7)*$B$5</f>
        <v/>
      </c>
      <c r="D12" s="4">
        <f>($B$4-2*$B$7)*$B$5</f>
        <v/>
      </c>
      <c r="E12" s="4">
        <f>($B$4-3*$B$7)*$B$5</f>
        <v/>
      </c>
      <c r="F12" s="4">
        <f>($B$4-4*$B$7)*$B$5</f>
        <v/>
      </c>
    </row>
    <row r="13">
      <c r="A13" s="4" t="inlineStr">
        <is>
          <t>- Remboursement principal</t>
        </is>
      </c>
      <c r="B13" s="4">
        <f>$B$7</f>
        <v/>
      </c>
      <c r="C13" s="4">
        <f>$B$7</f>
        <v/>
      </c>
      <c r="D13" s="4">
        <f>$B$7</f>
        <v/>
      </c>
      <c r="E13" s="4">
        <f>$B$7</f>
        <v/>
      </c>
      <c r="F13" s="4">
        <f>$B$7</f>
        <v/>
      </c>
    </row>
    <row r="14">
      <c r="A14" s="20">
        <f> Trésorerie fin de période</f>
        <v/>
      </c>
      <c r="B14" s="20">
        <f>B10+B11-B12-B13</f>
        <v/>
      </c>
      <c r="C14" s="20">
        <f>C10+C11-C12-C13</f>
        <v/>
      </c>
      <c r="D14" s="20">
        <f>D10+D11-D12-D13</f>
        <v/>
      </c>
      <c r="E14" s="20">
        <f>E10+E11-E12-E13</f>
        <v/>
      </c>
      <c r="F14" s="20">
        <f>F10+F11-F12-F13</f>
        <v/>
      </c>
    </row>
    <row r="17">
      <c r="A17" s="2" t="inlineStr">
        <is>
          <t>DETTE RESTANTE</t>
        </is>
      </c>
    </row>
    <row r="18">
      <c r="A18" s="4" t="inlineStr">
        <is>
          <t>Dette restante fin de période</t>
        </is>
      </c>
      <c r="B18" s="4">
        <f>$B$4-$B$7</f>
        <v/>
      </c>
      <c r="C18" s="4">
        <f>$B$4-2*$B$7</f>
        <v/>
      </c>
      <c r="D18" s="4">
        <f>$B$4-3*$B$7</f>
        <v/>
      </c>
      <c r="E18" s="4">
        <f>$B$4-4*$B$7</f>
        <v/>
      </c>
      <c r="F18" s="4">
        <f>$B$4-5*$B$7</f>
        <v/>
      </c>
    </row>
  </sheetData>
  <mergeCells count="3">
    <mergeCell ref="A3:D3"/>
    <mergeCell ref="A17:F17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RATIOS D'ANALYSE FINANCIÈRE</t>
        </is>
      </c>
    </row>
    <row r="3">
      <c r="A3" s="21" t="inlineStr">
        <is>
          <t>Ces ratios doivent être calculés à partir des comptes annuels réels de Bricorama</t>
        </is>
      </c>
    </row>
    <row r="5">
      <c r="A5" s="11" t="inlineStr">
        <is>
          <t>Ratio</t>
        </is>
      </c>
      <c r="B5" s="11" t="inlineStr">
        <is>
          <t>Formule</t>
        </is>
      </c>
      <c r="C5" s="11" t="inlineStr">
        <is>
          <t>2022</t>
        </is>
      </c>
      <c r="D5" s="11" t="inlineStr">
        <is>
          <t>2023</t>
        </is>
      </c>
      <c r="E5" s="11" t="inlineStr">
        <is>
          <t>2024</t>
        </is>
      </c>
    </row>
    <row r="6">
      <c r="A6" s="3" t="inlineStr">
        <is>
          <t>Liquidité Générale</t>
        </is>
      </c>
      <c r="B6" s="3" t="inlineStr">
        <is>
          <t>Actif Circulant / Passif Circulant</t>
        </is>
      </c>
      <c r="C6" s="3" t="inlineStr"/>
      <c r="D6" s="3" t="inlineStr"/>
      <c r="E6" s="3" t="inlineStr"/>
    </row>
    <row r="7">
      <c r="A7" s="3" t="inlineStr">
        <is>
          <t>Liquidité Réduite</t>
        </is>
      </c>
      <c r="B7" s="3" t="inlineStr">
        <is>
          <t>(Actif Circ. - Stocks) / Passif Circ.</t>
        </is>
      </c>
      <c r="C7" s="3" t="inlineStr"/>
      <c r="D7" s="3" t="inlineStr"/>
      <c r="E7" s="3" t="inlineStr"/>
    </row>
    <row r="8">
      <c r="A8" s="3" t="inlineStr">
        <is>
          <t>Autonomie Financière</t>
        </is>
      </c>
      <c r="B8" s="3" t="inlineStr">
        <is>
          <t>Capitaux Propres / Total Passif</t>
        </is>
      </c>
      <c r="C8" s="3" t="inlineStr"/>
      <c r="D8" s="3" t="inlineStr"/>
      <c r="E8" s="3" t="inlineStr"/>
    </row>
    <row r="9">
      <c r="A9" s="3" t="inlineStr">
        <is>
          <t>Ratio Dettes/EBE</t>
        </is>
      </c>
      <c r="B9" s="3" t="inlineStr">
        <is>
          <t>Dettes Financières / EBE</t>
        </is>
      </c>
      <c r="C9" s="3" t="inlineStr"/>
      <c r="D9" s="3" t="inlineStr"/>
      <c r="E9" s="3" t="inlineStr"/>
    </row>
    <row r="10">
      <c r="A10" s="3" t="inlineStr">
        <is>
          <t>Rentabilité économique (ROA)</t>
        </is>
      </c>
      <c r="B10" s="3" t="inlineStr">
        <is>
          <t>EBIT / Total Actif</t>
        </is>
      </c>
      <c r="C10" s="3" t="inlineStr"/>
      <c r="D10" s="3" t="inlineStr"/>
      <c r="E10" s="3" t="inlineStr"/>
    </row>
    <row r="11">
      <c r="A11" s="3" t="inlineStr">
        <is>
          <t>Rentabilité financière (ROE)</t>
        </is>
      </c>
      <c r="B11" s="3" t="inlineStr">
        <is>
          <t>Résultat Net / Capitaux Propres</t>
        </is>
      </c>
      <c r="C11" s="3" t="inlineStr"/>
      <c r="D11" s="3" t="inlineStr"/>
      <c r="E11" s="3" t="inlineStr"/>
    </row>
    <row r="12">
      <c r="A12" s="3" t="inlineStr">
        <is>
          <t>Marge nette</t>
        </is>
      </c>
      <c r="B12" s="3" t="inlineStr">
        <is>
          <t>Résultat Net / CA</t>
        </is>
      </c>
      <c r="C12" s="3" t="inlineStr"/>
      <c r="D12" s="3" t="inlineStr"/>
      <c r="E12" s="3" t="inlineStr"/>
    </row>
    <row r="13">
      <c r="A13" s="3" t="inlineStr">
        <is>
          <t>Rotation des actifs</t>
        </is>
      </c>
      <c r="B13" s="3" t="inlineStr">
        <is>
          <t>CA / Total Actif</t>
        </is>
      </c>
      <c r="C13" s="3" t="inlineStr"/>
      <c r="D13" s="3" t="inlineStr"/>
      <c r="E13" s="3" t="inlineStr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2026-02-11T18:17:48Z</dcterms:created>
  <dcterms:modified xsi:type="dcterms:W3CDTF">2026-02-11T18:17:48Z</dcterms:modified>
</cp:coreProperties>
</file>